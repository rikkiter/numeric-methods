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kkiter\Documents\nntu\Численные методы\Лаб 4\"/>
    </mc:Choice>
  </mc:AlternateContent>
  <xr:revisionPtr revIDLastSave="0" documentId="13_ncr:1_{736B9FEC-032E-41B6-AFDC-775044F4C5D9}" xr6:coauthVersionLast="47" xr6:coauthVersionMax="47" xr10:uidLastSave="{00000000-0000-0000-0000-000000000000}"/>
  <bookViews>
    <workbookView xWindow="-108" yWindow="-108" windowWidth="23256" windowHeight="12456" xr2:uid="{C79888EA-79E2-465B-A816-864CEEE5852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7" i="1" l="1"/>
  <c r="K46" i="1"/>
  <c r="K45" i="1"/>
  <c r="K44" i="1"/>
  <c r="I27" i="1"/>
  <c r="K43" i="1"/>
  <c r="C45" i="1"/>
  <c r="C46" i="1" s="1"/>
  <c r="C47" i="1" s="1"/>
  <c r="C44" i="1"/>
  <c r="I44" i="1"/>
  <c r="I45" i="1"/>
  <c r="I46" i="1"/>
  <c r="I47" i="1"/>
  <c r="H44" i="1"/>
  <c r="H45" i="1"/>
  <c r="H46" i="1"/>
  <c r="H47" i="1"/>
  <c r="G44" i="1"/>
  <c r="G45" i="1"/>
  <c r="G46" i="1"/>
  <c r="G47" i="1"/>
  <c r="G43" i="1"/>
  <c r="F44" i="1"/>
  <c r="F45" i="1"/>
  <c r="F46" i="1"/>
  <c r="F47" i="1"/>
  <c r="E44" i="1"/>
  <c r="E45" i="1"/>
  <c r="E46" i="1"/>
  <c r="E47" i="1"/>
  <c r="I43" i="1"/>
  <c r="H43" i="1"/>
  <c r="F43" i="1"/>
  <c r="E43" i="1"/>
  <c r="D43" i="1"/>
  <c r="B44" i="1"/>
  <c r="B45" i="1" s="1"/>
  <c r="B46" i="1" s="1"/>
  <c r="B47" i="1" s="1"/>
  <c r="D47" i="1" s="1"/>
  <c r="I26" i="1"/>
  <c r="G26" i="1"/>
  <c r="E26" i="1"/>
  <c r="C27" i="1" s="1"/>
  <c r="F26" i="1"/>
  <c r="B27" i="1"/>
  <c r="D27" i="1" s="1"/>
  <c r="F9" i="1"/>
  <c r="E9" i="1"/>
  <c r="F8" i="1"/>
  <c r="E8" i="1"/>
  <c r="F7" i="1"/>
  <c r="E7" i="1"/>
  <c r="F6" i="1"/>
  <c r="E6" i="1"/>
  <c r="F5" i="1"/>
  <c r="E5" i="1"/>
  <c r="D5" i="1" s="1"/>
  <c r="D45" i="1" l="1"/>
  <c r="D46" i="1"/>
  <c r="E27" i="1"/>
  <c r="D44" i="1"/>
  <c r="D6" i="1"/>
  <c r="D7" i="1" s="1"/>
  <c r="D8" i="1" s="1"/>
  <c r="D9" i="1" s="1"/>
  <c r="F27" i="1"/>
  <c r="G27" i="1"/>
  <c r="B28" i="1"/>
  <c r="I28" i="1" s="1"/>
  <c r="C28" i="1" l="1"/>
  <c r="E28" i="1"/>
  <c r="D28" i="1"/>
  <c r="G28" i="1"/>
  <c r="F28" i="1"/>
  <c r="B29" i="1"/>
  <c r="I29" i="1" s="1"/>
  <c r="C29" i="1" l="1"/>
  <c r="F29" i="1"/>
  <c r="G29" i="1"/>
  <c r="E29" i="1"/>
  <c r="D29" i="1"/>
  <c r="B30" i="1"/>
  <c r="I30" i="1" s="1"/>
  <c r="C30" i="1" l="1"/>
  <c r="F30" i="1"/>
  <c r="D30" i="1"/>
  <c r="G30" i="1"/>
  <c r="E30" i="1"/>
</calcChain>
</file>

<file path=xl/sharedStrings.xml><?xml version="1.0" encoding="utf-8"?>
<sst xmlns="http://schemas.openxmlformats.org/spreadsheetml/2006/main" count="30" uniqueCount="17">
  <si>
    <t>i</t>
  </si>
  <si>
    <t>x</t>
  </si>
  <si>
    <t>y'</t>
  </si>
  <si>
    <t>hx=</t>
  </si>
  <si>
    <t>y_аналитически</t>
  </si>
  <si>
    <t>y0=</t>
  </si>
  <si>
    <t>Метод Эйлера</t>
  </si>
  <si>
    <t>Метод Рунгу-Кутты 4-ого порядка</t>
  </si>
  <si>
    <t>yi</t>
  </si>
  <si>
    <t>xi</t>
  </si>
  <si>
    <t>Метод Рунгу-Кутты 6-ого порядка</t>
  </si>
  <si>
    <t>k1</t>
  </si>
  <si>
    <t>k2</t>
  </si>
  <si>
    <t>k3</t>
  </si>
  <si>
    <t>k4</t>
  </si>
  <si>
    <t>k5</t>
  </si>
  <si>
    <t>k6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</si>
</sst>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059096675415573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Лист1!$D$4</c:f>
              <c:strCache>
                <c:ptCount val="1"/>
                <c:pt idx="0">
                  <c:v>yi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Лист1!$C$5:$C$9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Лист1!$D$5:$D$9</c:f>
              <c:numCache>
                <c:formatCode>General</c:formatCode>
                <c:ptCount val="5"/>
                <c:pt idx="0">
                  <c:v>0</c:v>
                </c:pt>
                <c:pt idx="1">
                  <c:v>3.90625E-3</c:v>
                </c:pt>
                <c:pt idx="2">
                  <c:v>3.515625E-2</c:v>
                </c:pt>
                <c:pt idx="3">
                  <c:v>0.140625</c:v>
                </c:pt>
                <c:pt idx="4">
                  <c:v>0.390625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7A-45BE-AF7D-3467BE30FB76}"/>
            </c:ext>
          </c:extLst>
        </c:ser>
        <c:ser>
          <c:idx val="2"/>
          <c:order val="1"/>
          <c:tx>
            <c:strRef>
              <c:f>Лист1!$F$4</c:f>
              <c:strCache>
                <c:ptCount val="1"/>
                <c:pt idx="0">
                  <c:v>y_аналитически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Лист1!$C$5:$C$9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Лист1!$F$5:$F$9</c:f>
              <c:numCache>
                <c:formatCode>General</c:formatCode>
                <c:ptCount val="5"/>
                <c:pt idx="0">
                  <c:v>0</c:v>
                </c:pt>
                <c:pt idx="1">
                  <c:v>9.765625E-4</c:v>
                </c:pt>
                <c:pt idx="2">
                  <c:v>1.5625E-2</c:v>
                </c:pt>
                <c:pt idx="3">
                  <c:v>7.91015625E-2</c:v>
                </c:pt>
                <c:pt idx="4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7A-45BE-AF7D-3467BE30FB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7235632"/>
        <c:axId val="1047234192"/>
      </c:lineChart>
      <c:catAx>
        <c:axId val="1047235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47234192"/>
        <c:crosses val="autoZero"/>
        <c:auto val="1"/>
        <c:lblAlgn val="ctr"/>
        <c:lblOffset val="100"/>
        <c:noMultiLvlLbl val="0"/>
      </c:catAx>
      <c:valAx>
        <c:axId val="104723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47235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Лист1!$C$25</c:f>
              <c:strCache>
                <c:ptCount val="1"/>
                <c:pt idx="0">
                  <c:v>yi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Лист1!$B$26:$B$30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Лист1!$C$26:$C$30</c:f>
              <c:numCache>
                <c:formatCode>General</c:formatCode>
                <c:ptCount val="5"/>
                <c:pt idx="0">
                  <c:v>0</c:v>
                </c:pt>
                <c:pt idx="1">
                  <c:v>9.765625E-4</c:v>
                </c:pt>
                <c:pt idx="2">
                  <c:v>1.5625E-2</c:v>
                </c:pt>
                <c:pt idx="3">
                  <c:v>7.91015625E-2</c:v>
                </c:pt>
                <c:pt idx="4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01-4487-A446-B1556305B388}"/>
            </c:ext>
          </c:extLst>
        </c:ser>
        <c:ser>
          <c:idx val="1"/>
          <c:order val="1"/>
          <c:tx>
            <c:strRef>
              <c:f>Лист1!$I$25</c:f>
              <c:strCache>
                <c:ptCount val="1"/>
                <c:pt idx="0">
                  <c:v>y_аналитически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Лист1!$B$26:$B$30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Лист1!$I$26:$I$30</c:f>
              <c:numCache>
                <c:formatCode>General</c:formatCode>
                <c:ptCount val="5"/>
                <c:pt idx="0">
                  <c:v>0</c:v>
                </c:pt>
                <c:pt idx="1">
                  <c:v>9.765625E-4</c:v>
                </c:pt>
                <c:pt idx="2">
                  <c:v>1.5625E-2</c:v>
                </c:pt>
                <c:pt idx="3">
                  <c:v>7.91015625E-2</c:v>
                </c:pt>
                <c:pt idx="4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01-4487-A446-B1556305B3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4703615"/>
        <c:axId val="244706495"/>
      </c:lineChart>
      <c:catAx>
        <c:axId val="244703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4706495"/>
        <c:crosses val="autoZero"/>
        <c:auto val="1"/>
        <c:lblAlgn val="ctr"/>
        <c:lblOffset val="100"/>
        <c:noMultiLvlLbl val="0"/>
      </c:catAx>
      <c:valAx>
        <c:axId val="24470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4703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Лист1!$C$42</c:f>
              <c:strCache>
                <c:ptCount val="1"/>
                <c:pt idx="0">
                  <c:v>yi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Лист1!$C$43:$C$47</c:f>
              <c:numCache>
                <c:formatCode>General</c:formatCode>
                <c:ptCount val="5"/>
                <c:pt idx="0">
                  <c:v>0</c:v>
                </c:pt>
                <c:pt idx="1">
                  <c:v>8.3188657407407397E-4</c:v>
                </c:pt>
                <c:pt idx="2">
                  <c:v>1.5046296296296294E-2</c:v>
                </c:pt>
                <c:pt idx="3">
                  <c:v>7.7799479166666671E-2</c:v>
                </c:pt>
                <c:pt idx="4">
                  <c:v>0.24768518518518523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20-4D19-9BC1-73BFE51E36D4}"/>
            </c:ext>
          </c:extLst>
        </c:ser>
        <c:ser>
          <c:idx val="1"/>
          <c:order val="1"/>
          <c:tx>
            <c:strRef>
              <c:f>Лист1!$K$42</c:f>
              <c:strCache>
                <c:ptCount val="1"/>
                <c:pt idx="0">
                  <c:v>y_аналитически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Лист1!$K$43:$K$47</c:f>
              <c:numCache>
                <c:formatCode>General</c:formatCode>
                <c:ptCount val="5"/>
                <c:pt idx="0">
                  <c:v>0</c:v>
                </c:pt>
                <c:pt idx="1">
                  <c:v>9.765625E-4</c:v>
                </c:pt>
                <c:pt idx="2">
                  <c:v>1.5625E-2</c:v>
                </c:pt>
                <c:pt idx="3">
                  <c:v>7.91015625E-2</c:v>
                </c:pt>
                <c:pt idx="4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20-4D19-9BC1-73BFE51E36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4709855"/>
        <c:axId val="244707935"/>
      </c:lineChart>
      <c:catAx>
        <c:axId val="2447098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4707935"/>
        <c:crosses val="autoZero"/>
        <c:auto val="1"/>
        <c:lblAlgn val="ctr"/>
        <c:lblOffset val="100"/>
        <c:noMultiLvlLbl val="0"/>
      </c:catAx>
      <c:valAx>
        <c:axId val="24470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4709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198120</xdr:colOff>
      <xdr:row>2</xdr:row>
      <xdr:rowOff>26670</xdr:rowOff>
    </xdr:from>
    <xdr:to>
      <xdr:col>14</xdr:col>
      <xdr:colOff>502920</xdr:colOff>
      <xdr:row>17</xdr:row>
      <xdr:rowOff>26670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CCD7785-AC9F-9D70-1C04-5AF92ECA94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594527</xdr:colOff>
      <xdr:row>21</xdr:row>
      <xdr:rowOff>93784</xdr:rowOff>
    </xdr:from>
    <xdr:to>
      <xdr:col>18</xdr:col>
      <xdr:colOff>276329</xdr:colOff>
      <xdr:row>36</xdr:row>
      <xdr:rowOff>73687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BFC01213-1EF6-1893-481D-44C025BDBB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25121</xdr:colOff>
      <xdr:row>37</xdr:row>
      <xdr:rowOff>60289</xdr:rowOff>
    </xdr:from>
    <xdr:to>
      <xdr:col>19</xdr:col>
      <xdr:colOff>318198</xdr:colOff>
      <xdr:row>52</xdr:row>
      <xdr:rowOff>40192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5E48E07F-15FE-58D2-6DC1-991FFB8AD7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D43AF-AA2F-4A31-A863-049CD3DF1490}">
  <dimension ref="A1:K47"/>
  <sheetViews>
    <sheetView tabSelected="1" topLeftCell="A30" zoomScale="91" workbookViewId="0">
      <selection activeCell="S59" sqref="S59"/>
    </sheetView>
  </sheetViews>
  <sheetFormatPr defaultRowHeight="14.4" x14ac:dyDescent="0.3"/>
  <sheetData>
    <row r="1" spans="1:6" x14ac:dyDescent="0.3">
      <c r="A1" t="s">
        <v>6</v>
      </c>
    </row>
    <row r="2" spans="1:6" x14ac:dyDescent="0.3">
      <c r="C2" s="1" t="s">
        <v>5</v>
      </c>
      <c r="D2" s="2">
        <v>0</v>
      </c>
      <c r="E2" s="1" t="s">
        <v>3</v>
      </c>
      <c r="F2" s="2">
        <v>0.25</v>
      </c>
    </row>
    <row r="3" spans="1:6" x14ac:dyDescent="0.3">
      <c r="F3" s="2"/>
    </row>
    <row r="4" spans="1:6" x14ac:dyDescent="0.3">
      <c r="B4" t="s">
        <v>0</v>
      </c>
      <c r="C4" t="s">
        <v>1</v>
      </c>
      <c r="D4" t="s">
        <v>8</v>
      </c>
      <c r="E4" t="s">
        <v>2</v>
      </c>
      <c r="F4" t="s">
        <v>4</v>
      </c>
    </row>
    <row r="5" spans="1:6" x14ac:dyDescent="0.3">
      <c r="B5">
        <v>1</v>
      </c>
      <c r="C5">
        <v>0</v>
      </c>
      <c r="D5">
        <f>D2+E5*$F$2</f>
        <v>0</v>
      </c>
      <c r="E5">
        <f>C5^3</f>
        <v>0</v>
      </c>
      <c r="F5">
        <f>C5^4/4</f>
        <v>0</v>
      </c>
    </row>
    <row r="6" spans="1:6" x14ac:dyDescent="0.3">
      <c r="B6">
        <v>2</v>
      </c>
      <c r="C6">
        <v>0.25</v>
      </c>
      <c r="D6">
        <f>D5+E6*$F$2</f>
        <v>3.90625E-3</v>
      </c>
      <c r="E6">
        <f>C6^3</f>
        <v>1.5625E-2</v>
      </c>
      <c r="F6">
        <f>C6^4/4</f>
        <v>9.765625E-4</v>
      </c>
    </row>
    <row r="7" spans="1:6" x14ac:dyDescent="0.3">
      <c r="B7">
        <v>3</v>
      </c>
      <c r="C7">
        <v>0.5</v>
      </c>
      <c r="D7">
        <f>D6+E7*$F$2</f>
        <v>3.515625E-2</v>
      </c>
      <c r="E7">
        <f>C7^3</f>
        <v>0.125</v>
      </c>
      <c r="F7">
        <f>C7^4/4</f>
        <v>1.5625E-2</v>
      </c>
    </row>
    <row r="8" spans="1:6" x14ac:dyDescent="0.3">
      <c r="B8">
        <v>4</v>
      </c>
      <c r="C8">
        <v>0.75</v>
      </c>
      <c r="D8">
        <f>D7+E8*$F$2</f>
        <v>0.140625</v>
      </c>
      <c r="E8">
        <f>C8^3</f>
        <v>0.421875</v>
      </c>
      <c r="F8">
        <f>C8^4/4</f>
        <v>7.91015625E-2</v>
      </c>
    </row>
    <row r="9" spans="1:6" x14ac:dyDescent="0.3">
      <c r="B9">
        <v>5</v>
      </c>
      <c r="C9">
        <v>1</v>
      </c>
      <c r="D9">
        <f>D8+E9*$F$2</f>
        <v>0.390625</v>
      </c>
      <c r="E9">
        <f>C9^3</f>
        <v>1</v>
      </c>
      <c r="F9">
        <f>C9^4/4</f>
        <v>0.25</v>
      </c>
    </row>
    <row r="23" spans="1:9" x14ac:dyDescent="0.3">
      <c r="A23" t="s">
        <v>7</v>
      </c>
      <c r="F23" s="1" t="s">
        <v>3</v>
      </c>
      <c r="G23" s="2">
        <v>0.25</v>
      </c>
    </row>
    <row r="25" spans="1:9" x14ac:dyDescent="0.3">
      <c r="A25" t="s">
        <v>0</v>
      </c>
      <c r="B25" t="s">
        <v>9</v>
      </c>
      <c r="C25" t="s">
        <v>8</v>
      </c>
      <c r="D25" t="s">
        <v>11</v>
      </c>
      <c r="E25" t="s">
        <v>12</v>
      </c>
      <c r="F25" t="s">
        <v>13</v>
      </c>
      <c r="G25" t="s">
        <v>14</v>
      </c>
      <c r="I25" t="s">
        <v>4</v>
      </c>
    </row>
    <row r="26" spans="1:9" x14ac:dyDescent="0.3">
      <c r="A26">
        <v>1</v>
      </c>
      <c r="B26">
        <v>0</v>
      </c>
      <c r="C26">
        <v>0</v>
      </c>
      <c r="D26">
        <v>0</v>
      </c>
      <c r="E26">
        <f>(G23/2)^3</f>
        <v>1.953125E-3</v>
      </c>
      <c r="F26">
        <f>(G23/2)^3</f>
        <v>1.953125E-3</v>
      </c>
      <c r="G26">
        <f>G23^3</f>
        <v>1.5625E-2</v>
      </c>
      <c r="I26">
        <f>B26^4/4</f>
        <v>0</v>
      </c>
    </row>
    <row r="27" spans="1:9" x14ac:dyDescent="0.3">
      <c r="A27">
        <v>2</v>
      </c>
      <c r="B27">
        <f>B26+$G$23</f>
        <v>0.25</v>
      </c>
      <c r="C27">
        <f>C26+$G$23*(D26+2*E26+2*F26+G26)/6</f>
        <v>9.765625E-4</v>
      </c>
      <c r="D27">
        <f>(B27)^3</f>
        <v>1.5625E-2</v>
      </c>
      <c r="E27">
        <f>(B27+$G$23/2)^3</f>
        <v>5.2734375E-2</v>
      </c>
      <c r="F27">
        <f>(B27+$G$23/2)^3</f>
        <v>5.2734375E-2</v>
      </c>
      <c r="G27">
        <f>(B27+$G$23)^3</f>
        <v>0.125</v>
      </c>
      <c r="I27">
        <f>B27^4/4</f>
        <v>9.765625E-4</v>
      </c>
    </row>
    <row r="28" spans="1:9" x14ac:dyDescent="0.3">
      <c r="A28">
        <v>3</v>
      </c>
      <c r="B28">
        <f>B27+$G$23</f>
        <v>0.5</v>
      </c>
      <c r="C28">
        <f>C27+$G$23*(D27+2*E27+2*F27+G27)/6</f>
        <v>1.5625E-2</v>
      </c>
      <c r="D28">
        <f t="shared" ref="D28:D30" si="0">(B28)^3</f>
        <v>0.125</v>
      </c>
      <c r="E28">
        <f t="shared" ref="E28:E30" si="1">(B28+$G$23/2)^3</f>
        <v>0.244140625</v>
      </c>
      <c r="F28">
        <f t="shared" ref="F28:F30" si="2">(B28+$G$23/2)^3</f>
        <v>0.244140625</v>
      </c>
      <c r="G28">
        <f t="shared" ref="G28:G30" si="3">(B28+$G$23)^3</f>
        <v>0.421875</v>
      </c>
      <c r="I28">
        <f>B28^4/4</f>
        <v>1.5625E-2</v>
      </c>
    </row>
    <row r="29" spans="1:9" x14ac:dyDescent="0.3">
      <c r="A29">
        <v>4</v>
      </c>
      <c r="B29">
        <f>B28+$G$23</f>
        <v>0.75</v>
      </c>
      <c r="C29">
        <f>C28+$G$23*(D28+2*E28+2*F28+G28)/6</f>
        <v>7.91015625E-2</v>
      </c>
      <c r="D29">
        <f t="shared" si="0"/>
        <v>0.421875</v>
      </c>
      <c r="E29">
        <f t="shared" si="1"/>
        <v>0.669921875</v>
      </c>
      <c r="F29">
        <f t="shared" si="2"/>
        <v>0.669921875</v>
      </c>
      <c r="G29">
        <f t="shared" si="3"/>
        <v>1</v>
      </c>
      <c r="I29">
        <f>B29^4/4</f>
        <v>7.91015625E-2</v>
      </c>
    </row>
    <row r="30" spans="1:9" x14ac:dyDescent="0.3">
      <c r="A30">
        <v>5</v>
      </c>
      <c r="B30">
        <f>B29+$G$23</f>
        <v>1</v>
      </c>
      <c r="C30">
        <f>C29+$G$23*(D29+2*E29+2*F29+G29)/6</f>
        <v>0.25</v>
      </c>
      <c r="D30">
        <f t="shared" si="0"/>
        <v>1</v>
      </c>
      <c r="E30">
        <f t="shared" si="1"/>
        <v>1.423828125</v>
      </c>
      <c r="F30">
        <f>(B30+$G$23/2)^3</f>
        <v>1.423828125</v>
      </c>
      <c r="G30">
        <f t="shared" si="3"/>
        <v>1.953125</v>
      </c>
      <c r="I30">
        <f>B30^4/4</f>
        <v>0.25</v>
      </c>
    </row>
    <row r="40" spans="1:11" x14ac:dyDescent="0.3">
      <c r="A40" t="s">
        <v>10</v>
      </c>
      <c r="G40" s="1" t="s">
        <v>3</v>
      </c>
      <c r="H40" s="2">
        <v>0.25</v>
      </c>
    </row>
    <row r="42" spans="1:11" x14ac:dyDescent="0.3">
      <c r="A42" t="s">
        <v>0</v>
      </c>
      <c r="B42" t="s">
        <v>9</v>
      </c>
      <c r="C42" t="s">
        <v>8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  <c r="I42" t="s">
        <v>16</v>
      </c>
      <c r="K42" t="s">
        <v>4</v>
      </c>
    </row>
    <row r="43" spans="1:11" x14ac:dyDescent="0.3">
      <c r="A43">
        <v>1</v>
      </c>
      <c r="B43">
        <v>0</v>
      </c>
      <c r="C43">
        <v>0</v>
      </c>
      <c r="D43">
        <f>B43^3</f>
        <v>0</v>
      </c>
      <c r="E43">
        <f>(B43+$H$40/3)^3</f>
        <v>5.7870370370370367E-4</v>
      </c>
      <c r="F43">
        <f>(B43+$H$40/3)^3</f>
        <v>5.7870370370370367E-4</v>
      </c>
      <c r="G43">
        <f>(B43+$H$40/2)^3</f>
        <v>1.953125E-3</v>
      </c>
      <c r="H43">
        <f>(B43+2*$H$40/3)^3</f>
        <v>4.6296296296296294E-3</v>
      </c>
      <c r="I43">
        <f>(B43+$H$40)^3</f>
        <v>1.5625E-2</v>
      </c>
      <c r="K43" s="3">
        <f>D43^4/4</f>
        <v>0</v>
      </c>
    </row>
    <row r="44" spans="1:11" x14ac:dyDescent="0.3">
      <c r="A44">
        <v>2</v>
      </c>
      <c r="B44">
        <f>B43+$G$23</f>
        <v>0.25</v>
      </c>
      <c r="C44">
        <f>C43+$H$40*(7*D43+32*F43+12*G43+32*H43+7*I43)/90</f>
        <v>8.3188657407407397E-4</v>
      </c>
      <c r="D44">
        <f t="shared" ref="D44:D47" si="4">B44^3</f>
        <v>1.5625E-2</v>
      </c>
      <c r="E44">
        <f t="shared" ref="E44:E47" si="5">(B44+$H$40/3)^3</f>
        <v>3.7037037037037035E-2</v>
      </c>
      <c r="F44">
        <f t="shared" ref="F44:F47" si="6">(B44+$H$40/3)^3</f>
        <v>3.7037037037037035E-2</v>
      </c>
      <c r="G44">
        <f t="shared" ref="G44:G47" si="7">(B44+$H$40/2)^3</f>
        <v>5.2734375E-2</v>
      </c>
      <c r="H44">
        <f t="shared" ref="H44:H47" si="8">(B44+2*$H$40/3)^3</f>
        <v>7.2337962962962937E-2</v>
      </c>
      <c r="I44">
        <f t="shared" ref="I44:I47" si="9">(B44+$H$40)^3</f>
        <v>0.125</v>
      </c>
      <c r="K44" s="3">
        <f>B44^4/4</f>
        <v>9.765625E-4</v>
      </c>
    </row>
    <row r="45" spans="1:11" x14ac:dyDescent="0.3">
      <c r="A45">
        <v>3</v>
      </c>
      <c r="B45">
        <f>B44+$G$23</f>
        <v>0.5</v>
      </c>
      <c r="C45">
        <f t="shared" ref="C45:C47" si="10">C44+$H$40*(7*D44+32*F44+12*G44+32*H44+7*I44)/90</f>
        <v>1.5046296296296294E-2</v>
      </c>
      <c r="D45">
        <f t="shared" si="4"/>
        <v>0.125</v>
      </c>
      <c r="E45">
        <f t="shared" si="5"/>
        <v>0.19849537037037043</v>
      </c>
      <c r="F45">
        <f t="shared" si="6"/>
        <v>0.19849537037037043</v>
      </c>
      <c r="G45">
        <f t="shared" si="7"/>
        <v>0.244140625</v>
      </c>
      <c r="H45">
        <f t="shared" si="8"/>
        <v>0.29629629629629628</v>
      </c>
      <c r="I45">
        <f t="shared" si="9"/>
        <v>0.421875</v>
      </c>
      <c r="K45" s="3">
        <f>B45^4/4</f>
        <v>1.5625E-2</v>
      </c>
    </row>
    <row r="46" spans="1:11" x14ac:dyDescent="0.3">
      <c r="A46">
        <v>4</v>
      </c>
      <c r="B46">
        <f>B45+$G$23</f>
        <v>0.75</v>
      </c>
      <c r="C46">
        <f t="shared" si="10"/>
        <v>7.7799479166666671E-2</v>
      </c>
      <c r="D46">
        <f t="shared" si="4"/>
        <v>0.421875</v>
      </c>
      <c r="E46">
        <f t="shared" si="5"/>
        <v>0.57870370370370383</v>
      </c>
      <c r="F46">
        <f t="shared" si="6"/>
        <v>0.57870370370370383</v>
      </c>
      <c r="G46">
        <f t="shared" si="7"/>
        <v>0.669921875</v>
      </c>
      <c r="H46">
        <f t="shared" si="8"/>
        <v>0.77025462962962954</v>
      </c>
      <c r="I46">
        <f t="shared" si="9"/>
        <v>1</v>
      </c>
      <c r="K46" s="3">
        <f>B46^4/4</f>
        <v>7.91015625E-2</v>
      </c>
    </row>
    <row r="47" spans="1:11" x14ac:dyDescent="0.3">
      <c r="A47">
        <v>5</v>
      </c>
      <c r="B47">
        <f>B46+$G$23</f>
        <v>1</v>
      </c>
      <c r="C47">
        <f t="shared" si="10"/>
        <v>0.24768518518518523</v>
      </c>
      <c r="D47">
        <f t="shared" si="4"/>
        <v>1</v>
      </c>
      <c r="E47">
        <f t="shared" si="5"/>
        <v>1.2714120370370368</v>
      </c>
      <c r="F47">
        <f t="shared" si="6"/>
        <v>1.2714120370370368</v>
      </c>
      <c r="G47">
        <f t="shared" si="7"/>
        <v>1.423828125</v>
      </c>
      <c r="H47">
        <f t="shared" si="8"/>
        <v>1.5879629629629635</v>
      </c>
      <c r="I47">
        <f t="shared" si="9"/>
        <v>1.953125</v>
      </c>
      <c r="K47" s="3">
        <f>B47^4/4</f>
        <v>0.25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rikkiter</dc:creator>
  <cp:lastModifiedBy>rikkiter</cp:lastModifiedBy>
  <dcterms:created xsi:type="dcterms:W3CDTF">2025-10-01T05:20:31Z</dcterms:created>
  <dcterms:modified xsi:type="dcterms:W3CDTF">2025-10-01T08:07:31Z</dcterms:modified>
</cp:coreProperties>
</file>