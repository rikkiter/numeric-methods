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9B10AB7-D7BD-49CC-B07F-4D28B5085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B9" i="1"/>
  <c r="F20" i="1"/>
  <c r="P64" i="1" l="1"/>
  <c r="M64" i="1"/>
  <c r="J64" i="1"/>
  <c r="J65" i="1" l="1"/>
  <c r="J68" i="1" s="1"/>
  <c r="J67" i="1"/>
  <c r="J66" i="1"/>
  <c r="P65" i="1"/>
  <c r="P66" i="1"/>
  <c r="P67" i="1"/>
  <c r="M66" i="1"/>
  <c r="M65" i="1"/>
  <c r="M67" i="1"/>
  <c r="O52" i="1"/>
  <c r="O51" i="1"/>
  <c r="O50" i="1"/>
  <c r="L50" i="1"/>
  <c r="O42" i="1"/>
  <c r="O41" i="1"/>
  <c r="O40" i="1"/>
  <c r="L40" i="1"/>
  <c r="O31" i="1"/>
  <c r="O30" i="1"/>
  <c r="O33" i="1" s="1"/>
  <c r="L30" i="1"/>
  <c r="O34" i="1" s="1"/>
  <c r="O32" i="1"/>
  <c r="O23" i="1"/>
  <c r="O22" i="1"/>
  <c r="O21" i="1"/>
  <c r="L21" i="1"/>
  <c r="O15" i="1"/>
  <c r="O14" i="1"/>
  <c r="O13" i="1"/>
  <c r="L13" i="1"/>
  <c r="O6" i="1"/>
  <c r="O7" i="1"/>
  <c r="O5" i="1"/>
  <c r="O8" i="1" s="1"/>
  <c r="L5" i="1"/>
  <c r="B51" i="1"/>
  <c r="B46" i="1"/>
  <c r="D38" i="1"/>
  <c r="E22" i="1"/>
  <c r="B12" i="1"/>
  <c r="F7" i="1"/>
  <c r="B10" i="1" s="1"/>
  <c r="B13" i="1" s="1"/>
  <c r="O9" i="1" l="1"/>
  <c r="O43" i="1"/>
  <c r="P68" i="1"/>
  <c r="M68" i="1"/>
  <c r="O53" i="1"/>
  <c r="O54" i="1" s="1"/>
  <c r="O44" i="1"/>
  <c r="O24" i="1"/>
  <c r="O25" i="1" s="1"/>
  <c r="O16" i="1"/>
  <c r="O17" i="1" s="1"/>
  <c r="F26" i="1"/>
  <c r="E28" i="1" s="1"/>
</calcChain>
</file>

<file path=xl/sharedStrings.xml><?xml version="1.0" encoding="utf-8"?>
<sst xmlns="http://schemas.openxmlformats.org/spreadsheetml/2006/main" count="158" uniqueCount="60">
  <si>
    <t>=</t>
  </si>
  <si>
    <t>6/11</t>
  </si>
  <si>
    <t>√83</t>
  </si>
  <si>
    <t>a1=</t>
  </si>
  <si>
    <t>a2=</t>
  </si>
  <si>
    <t xml:space="preserve">Абсол. Погр. a1 = </t>
  </si>
  <si>
    <t xml:space="preserve">Абсол. Погр. a2 = </t>
  </si>
  <si>
    <t>Относ. Погр. a1=</t>
  </si>
  <si>
    <t>Относ. Погр. a2=</t>
  </si>
  <si>
    <t>Результат</t>
  </si>
  <si>
    <t>второе выражение точнее</t>
  </si>
  <si>
    <t>Задание 1</t>
  </si>
  <si>
    <t>Задание 2</t>
  </si>
  <si>
    <t>в узком смысле:</t>
  </si>
  <si>
    <t>a=</t>
  </si>
  <si>
    <t>∆a=</t>
  </si>
  <si>
    <t xml:space="preserve">δa = </t>
  </si>
  <si>
    <t>&lt; 0.5</t>
  </si>
  <si>
    <t>∆a1=</t>
  </si>
  <si>
    <t>Верные цифры 2, 2</t>
  </si>
  <si>
    <t>Верные цифры 2, 1</t>
  </si>
  <si>
    <t>в широком смысле:</t>
  </si>
  <si>
    <t>&lt; 0.01</t>
  </si>
  <si>
    <t>Верные цифры 3, 7, 8</t>
  </si>
  <si>
    <t>а)</t>
  </si>
  <si>
    <t>δa =</t>
  </si>
  <si>
    <t>б)</t>
  </si>
  <si>
    <t>a)</t>
  </si>
  <si>
    <t>c=</t>
  </si>
  <si>
    <t>b=</t>
  </si>
  <si>
    <t>d=</t>
  </si>
  <si>
    <t>X=</t>
  </si>
  <si>
    <t xml:space="preserve">δc = </t>
  </si>
  <si>
    <t xml:space="preserve">δd = </t>
  </si>
  <si>
    <t xml:space="preserve">δb= </t>
  </si>
  <si>
    <t>∆c=</t>
  </si>
  <si>
    <t>∆d=</t>
  </si>
  <si>
    <t>∆b=</t>
  </si>
  <si>
    <t>δX=</t>
  </si>
  <si>
    <t>∆X=</t>
  </si>
  <si>
    <t>в)</t>
  </si>
  <si>
    <t>m=</t>
  </si>
  <si>
    <t>n=</t>
  </si>
  <si>
    <t>y=</t>
  </si>
  <si>
    <t>∆m=</t>
  </si>
  <si>
    <t>∆n=</t>
  </si>
  <si>
    <t>δy=</t>
  </si>
  <si>
    <t>∆y=</t>
  </si>
  <si>
    <t xml:space="preserve">δm= </t>
  </si>
  <si>
    <t xml:space="preserve">δa-b = </t>
  </si>
  <si>
    <t xml:space="preserve">δn-a = </t>
  </si>
  <si>
    <t>Номер 1</t>
  </si>
  <si>
    <t>Номер 2</t>
  </si>
  <si>
    <t>Номер 3</t>
  </si>
  <si>
    <t xml:space="preserve"> Номер 3</t>
  </si>
  <si>
    <t>p=</t>
  </si>
  <si>
    <t>S=</t>
  </si>
  <si>
    <t>p-a=</t>
  </si>
  <si>
    <t>p-b=</t>
  </si>
  <si>
    <t>p-c=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</si>
</sst>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5" xfId="0" applyNumberFormat="1" applyBorder="1" applyAlignment="1">
      <alignment horizontal="right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righ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6" fontId="0" fillId="0" borderId="6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showFormulas="1" tabSelected="1" topLeftCell="H58" zoomScale="81" zoomScaleNormal="100" workbookViewId="0">
      <selection activeCell="R27" sqref="R27"/>
    </sheetView>
  </sheetViews>
  <sheetFormatPr defaultRowHeight="14.4" x14ac:dyDescent="0.3"/>
  <cols>
    <col min="1" max="1" width="16.88671875" customWidth="1"/>
    <col min="2" max="2" width="12.5546875" bestFit="1" customWidth="1"/>
    <col min="6" max="6" width="12.5546875" bestFit="1" customWidth="1"/>
    <col min="9" max="9" width="11.5546875" customWidth="1"/>
    <col min="10" max="10" width="9.5546875" bestFit="1" customWidth="1"/>
  </cols>
  <sheetData>
    <row r="1" spans="1:15" x14ac:dyDescent="0.3">
      <c r="A1" t="s">
        <v>11</v>
      </c>
      <c r="I1" t="s">
        <v>12</v>
      </c>
    </row>
    <row r="3" spans="1:15" x14ac:dyDescent="0.3">
      <c r="A3" s="7" t="s">
        <v>51</v>
      </c>
      <c r="B3" s="8"/>
      <c r="C3" s="8"/>
      <c r="D3" s="8"/>
      <c r="E3" s="8"/>
      <c r="F3" s="9"/>
      <c r="I3" s="7" t="s">
        <v>51</v>
      </c>
      <c r="J3" s="8"/>
      <c r="K3" s="8"/>
      <c r="L3" s="8"/>
      <c r="M3" s="8"/>
      <c r="N3" s="8"/>
      <c r="O3" s="9"/>
    </row>
    <row r="4" spans="1:15" x14ac:dyDescent="0.3">
      <c r="A4" s="10"/>
      <c r="F4" s="11"/>
      <c r="I4" s="10" t="s">
        <v>27</v>
      </c>
      <c r="O4" s="11"/>
    </row>
    <row r="5" spans="1:15" x14ac:dyDescent="0.3">
      <c r="A5" s="12" t="s">
        <v>1</v>
      </c>
      <c r="B5" s="3" t="s">
        <v>0</v>
      </c>
      <c r="C5" s="4">
        <v>0.54500000000000004</v>
      </c>
      <c r="E5" s="19" t="s">
        <v>3</v>
      </c>
      <c r="F5" s="13">
        <f>6/11</f>
        <v>0.54545454545454541</v>
      </c>
      <c r="I5" s="17" t="s">
        <v>28</v>
      </c>
      <c r="J5" s="4">
        <v>0.75680000000000003</v>
      </c>
      <c r="K5" s="19" t="s">
        <v>31</v>
      </c>
      <c r="L5">
        <f>SQRT(J5*J6/J7)</f>
        <v>2.4894160867219823</v>
      </c>
      <c r="N5" s="2" t="s">
        <v>32</v>
      </c>
      <c r="O5" s="11">
        <f>J8/J5</f>
        <v>2.6427061310782242E-4</v>
      </c>
    </row>
    <row r="6" spans="1:15" x14ac:dyDescent="0.3">
      <c r="A6" s="10"/>
      <c r="F6" s="11"/>
      <c r="I6" s="17" t="s">
        <v>30</v>
      </c>
      <c r="J6" s="4">
        <v>21.7</v>
      </c>
      <c r="N6" s="2" t="s">
        <v>33</v>
      </c>
      <c r="O6" s="11">
        <f t="shared" ref="O6:O7" si="0">J9/J6</f>
        <v>9.2165898617511521E-4</v>
      </c>
    </row>
    <row r="7" spans="1:15" x14ac:dyDescent="0.3">
      <c r="A7" s="12" t="s">
        <v>2</v>
      </c>
      <c r="B7" s="3" t="s">
        <v>0</v>
      </c>
      <c r="C7" s="6">
        <v>9.11</v>
      </c>
      <c r="E7" s="19" t="s">
        <v>4</v>
      </c>
      <c r="F7" s="20">
        <f>SQRT(83)</f>
        <v>9.1104335791442992</v>
      </c>
      <c r="I7" s="17" t="s">
        <v>29</v>
      </c>
      <c r="J7" s="4">
        <v>2.65</v>
      </c>
      <c r="N7" s="2" t="s">
        <v>34</v>
      </c>
      <c r="O7" s="11">
        <f t="shared" si="0"/>
        <v>3.7735849056603774E-3</v>
      </c>
    </row>
    <row r="8" spans="1:15" x14ac:dyDescent="0.3">
      <c r="A8" s="10"/>
      <c r="F8" s="11"/>
      <c r="I8" s="17" t="s">
        <v>35</v>
      </c>
      <c r="J8" s="4">
        <v>2.0000000000000001E-4</v>
      </c>
      <c r="N8" s="19" t="s">
        <v>38</v>
      </c>
      <c r="O8" s="11">
        <f>(O5+O6+O7)/2</f>
        <v>2.4797572524716573E-3</v>
      </c>
    </row>
    <row r="9" spans="1:15" x14ac:dyDescent="0.3">
      <c r="A9" s="10" t="s">
        <v>5</v>
      </c>
      <c r="B9" s="5">
        <f>F5-C5</f>
        <v>4.5454545454537421E-4</v>
      </c>
      <c r="F9" s="11"/>
      <c r="I9" s="17" t="s">
        <v>36</v>
      </c>
      <c r="J9" s="4">
        <v>0.02</v>
      </c>
      <c r="N9" s="19" t="s">
        <v>39</v>
      </c>
      <c r="O9" s="11">
        <f>L5*O8</f>
        <v>6.1731475954684475E-3</v>
      </c>
    </row>
    <row r="10" spans="1:15" x14ac:dyDescent="0.3">
      <c r="A10" s="10" t="s">
        <v>6</v>
      </c>
      <c r="B10" s="5">
        <f>F7-C7</f>
        <v>4.3357914429975608E-4</v>
      </c>
      <c r="F10" s="11"/>
      <c r="I10" s="17" t="s">
        <v>37</v>
      </c>
      <c r="J10" s="4">
        <v>0.01</v>
      </c>
      <c r="O10" s="11"/>
    </row>
    <row r="11" spans="1:15" x14ac:dyDescent="0.3">
      <c r="A11" s="10"/>
      <c r="F11" s="11"/>
      <c r="I11" s="10"/>
      <c r="O11" s="11"/>
    </row>
    <row r="12" spans="1:15" x14ac:dyDescent="0.3">
      <c r="A12" s="10" t="s">
        <v>7</v>
      </c>
      <c r="B12" s="5">
        <f>B9/C5</f>
        <v>8.340283569639893E-4</v>
      </c>
      <c r="F12" s="11"/>
      <c r="I12" s="10" t="s">
        <v>26</v>
      </c>
      <c r="O12" s="11"/>
    </row>
    <row r="13" spans="1:15" x14ac:dyDescent="0.3">
      <c r="A13" s="10" t="s">
        <v>8</v>
      </c>
      <c r="B13" s="5">
        <f>B10/C7</f>
        <v>4.7593758979117026E-5</v>
      </c>
      <c r="F13" s="11"/>
      <c r="I13" s="17" t="s">
        <v>28</v>
      </c>
      <c r="J13" s="4">
        <v>0.83450000000000002</v>
      </c>
      <c r="K13" s="19" t="s">
        <v>31</v>
      </c>
      <c r="L13">
        <f>SQRT(J13*J14/J15)</f>
        <v>2.5017493879283754</v>
      </c>
      <c r="N13" s="2" t="s">
        <v>32</v>
      </c>
      <c r="O13" s="11">
        <f>J16/J13</f>
        <v>4.7932893948472141E-4</v>
      </c>
    </row>
    <row r="14" spans="1:15" x14ac:dyDescent="0.3">
      <c r="A14" s="10"/>
      <c r="F14" s="11"/>
      <c r="I14" s="17" t="s">
        <v>30</v>
      </c>
      <c r="J14" s="4">
        <v>13.8</v>
      </c>
      <c r="N14" s="2" t="s">
        <v>33</v>
      </c>
      <c r="O14" s="11">
        <f t="shared" ref="O14:O15" si="1">J17/J14</f>
        <v>2.1739130434782605E-3</v>
      </c>
    </row>
    <row r="15" spans="1:15" x14ac:dyDescent="0.3">
      <c r="A15" s="14" t="s">
        <v>9</v>
      </c>
      <c r="B15" s="16" t="s">
        <v>10</v>
      </c>
      <c r="C15" s="16"/>
      <c r="D15" s="16"/>
      <c r="E15" s="1"/>
      <c r="F15" s="15"/>
      <c r="I15" s="17" t="s">
        <v>29</v>
      </c>
      <c r="J15" s="4">
        <v>1.84</v>
      </c>
      <c r="N15" s="2" t="s">
        <v>34</v>
      </c>
      <c r="O15" s="11">
        <f t="shared" si="1"/>
        <v>3.2608695652173911E-3</v>
      </c>
    </row>
    <row r="16" spans="1:15" x14ac:dyDescent="0.3">
      <c r="I16" s="17" t="s">
        <v>35</v>
      </c>
      <c r="J16" s="4">
        <v>4.0000000000000002E-4</v>
      </c>
      <c r="N16" s="19" t="s">
        <v>38</v>
      </c>
      <c r="O16" s="11">
        <f>(O13+O14+O15)/2</f>
        <v>2.9570557740901866E-3</v>
      </c>
    </row>
    <row r="17" spans="1:15" x14ac:dyDescent="0.3">
      <c r="A17" s="7" t="s">
        <v>52</v>
      </c>
      <c r="B17" s="8"/>
      <c r="C17" s="8"/>
      <c r="D17" s="8"/>
      <c r="E17" s="8"/>
      <c r="F17" s="9"/>
      <c r="I17" s="17" t="s">
        <v>36</v>
      </c>
      <c r="J17" s="4">
        <v>0.03</v>
      </c>
      <c r="N17" s="19" t="s">
        <v>39</v>
      </c>
      <c r="O17" s="11">
        <f>L13*O16</f>
        <v>7.3978124729001931E-3</v>
      </c>
    </row>
    <row r="18" spans="1:15" x14ac:dyDescent="0.3">
      <c r="A18" s="10" t="s">
        <v>13</v>
      </c>
      <c r="F18" s="11"/>
      <c r="I18" s="17" t="s">
        <v>37</v>
      </c>
      <c r="J18" s="4">
        <v>6.0000000000000001E-3</v>
      </c>
      <c r="O18" s="11"/>
    </row>
    <row r="19" spans="1:15" x14ac:dyDescent="0.3">
      <c r="A19" s="10"/>
      <c r="F19" s="11"/>
      <c r="I19" s="10"/>
      <c r="O19" s="11"/>
    </row>
    <row r="20" spans="1:15" x14ac:dyDescent="0.3">
      <c r="A20" s="17" t="s">
        <v>14</v>
      </c>
      <c r="B20" s="4">
        <v>21.68563</v>
      </c>
      <c r="C20" s="2" t="s">
        <v>16</v>
      </c>
      <c r="D20" s="18">
        <v>3.0000000000000001E-3</v>
      </c>
      <c r="E20" s="19" t="s">
        <v>15</v>
      </c>
      <c r="F20" s="20">
        <f>B20*D20</f>
        <v>6.5056890000000006E-2</v>
      </c>
      <c r="I20" s="10" t="s">
        <v>40</v>
      </c>
      <c r="O20" s="11"/>
    </row>
    <row r="21" spans="1:15" x14ac:dyDescent="0.3">
      <c r="A21" s="10"/>
      <c r="F21" s="11"/>
      <c r="I21" s="17" t="s">
        <v>28</v>
      </c>
      <c r="J21" s="4">
        <v>0.63839999999999997</v>
      </c>
      <c r="K21" s="19" t="s">
        <v>31</v>
      </c>
      <c r="L21">
        <f>SQRT(J21*J22/J23)</f>
        <v>2.0682851057551335</v>
      </c>
      <c r="N21" s="2" t="s">
        <v>32</v>
      </c>
      <c r="O21" s="11">
        <f>J24/J21</f>
        <v>3.1328320802005016E-4</v>
      </c>
    </row>
    <row r="22" spans="1:15" x14ac:dyDescent="0.3">
      <c r="A22" s="10"/>
      <c r="E22">
        <f>F20</f>
        <v>6.5056890000000006E-2</v>
      </c>
      <c r="F22" s="11" t="s">
        <v>17</v>
      </c>
      <c r="I22" s="17" t="s">
        <v>30</v>
      </c>
      <c r="J22" s="4">
        <v>32.700000000000003</v>
      </c>
      <c r="N22" s="2" t="s">
        <v>33</v>
      </c>
      <c r="O22" s="11">
        <f t="shared" ref="O22:O23" si="2">J25/J22</f>
        <v>1.2232415902140672E-3</v>
      </c>
    </row>
    <row r="23" spans="1:15" x14ac:dyDescent="0.3">
      <c r="A23" s="10"/>
      <c r="F23" s="11"/>
      <c r="I23" s="17" t="s">
        <v>29</v>
      </c>
      <c r="J23" s="4">
        <v>4.88</v>
      </c>
      <c r="N23" s="2" t="s">
        <v>34</v>
      </c>
      <c r="O23" s="11">
        <f t="shared" si="2"/>
        <v>6.1475409836065573E-3</v>
      </c>
    </row>
    <row r="24" spans="1:15" x14ac:dyDescent="0.3">
      <c r="A24" s="10"/>
      <c r="B24" t="s">
        <v>20</v>
      </c>
      <c r="F24" s="11"/>
      <c r="I24" s="17" t="s">
        <v>35</v>
      </c>
      <c r="J24" s="4">
        <v>2.0000000000000001E-4</v>
      </c>
      <c r="N24" s="19" t="s">
        <v>38</v>
      </c>
      <c r="O24" s="11">
        <f>(O21+O22+O23)/2</f>
        <v>3.8420328909203371E-3</v>
      </c>
    </row>
    <row r="25" spans="1:15" x14ac:dyDescent="0.3">
      <c r="A25" s="10"/>
      <c r="F25" s="11"/>
      <c r="I25" s="17" t="s">
        <v>36</v>
      </c>
      <c r="J25" s="4">
        <v>0.04</v>
      </c>
      <c r="N25" s="19" t="s">
        <v>39</v>
      </c>
      <c r="O25" s="11">
        <f>L21*O24</f>
        <v>7.9464194041118704E-3</v>
      </c>
    </row>
    <row r="26" spans="1:15" x14ac:dyDescent="0.3">
      <c r="A26" s="17" t="s">
        <v>3</v>
      </c>
      <c r="B26" s="4">
        <v>22</v>
      </c>
      <c r="E26" s="19" t="s">
        <v>18</v>
      </c>
      <c r="F26" s="11">
        <f>F20+ABS(B26-B20)</f>
        <v>0.37942689000000029</v>
      </c>
      <c r="I26" s="21" t="s">
        <v>37</v>
      </c>
      <c r="J26" s="16">
        <v>0.03</v>
      </c>
      <c r="K26" s="1"/>
      <c r="L26" s="1"/>
      <c r="M26" s="1"/>
      <c r="N26" s="1"/>
      <c r="O26" s="15"/>
    </row>
    <row r="27" spans="1:15" x14ac:dyDescent="0.3">
      <c r="A27" s="10"/>
      <c r="F27" s="11"/>
    </row>
    <row r="28" spans="1:15" x14ac:dyDescent="0.3">
      <c r="A28" s="10"/>
      <c r="E28">
        <f>F26</f>
        <v>0.37942689000000029</v>
      </c>
      <c r="F28" s="11" t="s">
        <v>17</v>
      </c>
      <c r="I28" s="22" t="s">
        <v>52</v>
      </c>
      <c r="J28" s="8"/>
      <c r="K28" s="8"/>
      <c r="L28" s="8"/>
      <c r="M28" s="8"/>
      <c r="N28" s="8"/>
      <c r="O28" s="9"/>
    </row>
    <row r="29" spans="1:15" x14ac:dyDescent="0.3">
      <c r="A29" s="10"/>
      <c r="F29" s="11"/>
      <c r="I29" s="10" t="s">
        <v>27</v>
      </c>
      <c r="O29" s="11"/>
    </row>
    <row r="30" spans="1:15" x14ac:dyDescent="0.3">
      <c r="A30" s="10"/>
      <c r="B30" t="s">
        <v>19</v>
      </c>
      <c r="F30" s="11"/>
      <c r="I30" s="17" t="s">
        <v>14</v>
      </c>
      <c r="J30" s="4">
        <v>10.82</v>
      </c>
      <c r="K30" s="19" t="s">
        <v>43</v>
      </c>
      <c r="L30">
        <f>POWER(J30-J31, 1/3)/J32/(J33-J30)</f>
        <v>1.8435468785851563</v>
      </c>
      <c r="N30" s="2" t="s">
        <v>49</v>
      </c>
      <c r="O30" s="11">
        <f>(J34+J35)/(J30-J31)</f>
        <v>3.8088125466766241E-3</v>
      </c>
    </row>
    <row r="31" spans="1:15" x14ac:dyDescent="0.3">
      <c r="A31" s="10"/>
      <c r="F31" s="11"/>
      <c r="I31" s="17" t="s">
        <v>29</v>
      </c>
      <c r="J31" s="4">
        <v>2.786</v>
      </c>
      <c r="N31" s="2" t="s">
        <v>50</v>
      </c>
      <c r="O31" s="11">
        <f>(J37+J34)/(J33-J30)</f>
        <v>2.3195876288659798E-2</v>
      </c>
    </row>
    <row r="32" spans="1:15" x14ac:dyDescent="0.3">
      <c r="A32" s="10" t="s">
        <v>21</v>
      </c>
      <c r="F32" s="11"/>
      <c r="I32" s="17" t="s">
        <v>41</v>
      </c>
      <c r="J32" s="4">
        <v>0.28000000000000003</v>
      </c>
      <c r="N32" s="2" t="s">
        <v>48</v>
      </c>
      <c r="O32" s="11">
        <f>J36/J32</f>
        <v>2.1428571428571425E-2</v>
      </c>
    </row>
    <row r="33" spans="1:15" x14ac:dyDescent="0.3">
      <c r="A33" s="10"/>
      <c r="F33" s="11"/>
      <c r="I33" s="17" t="s">
        <v>42</v>
      </c>
      <c r="J33" s="4">
        <v>14.7</v>
      </c>
      <c r="N33" s="19" t="s">
        <v>46</v>
      </c>
      <c r="O33" s="11">
        <f>O30/3+O31+O32</f>
        <v>4.5894051899456764E-2</v>
      </c>
    </row>
    <row r="34" spans="1:15" x14ac:dyDescent="0.3">
      <c r="A34" s="17" t="s">
        <v>14</v>
      </c>
      <c r="B34" s="4">
        <v>3.7833999999999999</v>
      </c>
      <c r="C34" s="19" t="s">
        <v>15</v>
      </c>
      <c r="D34" s="4">
        <v>4.1000000000000003E-3</v>
      </c>
      <c r="E34" s="19" t="s">
        <v>22</v>
      </c>
      <c r="F34" s="20"/>
      <c r="I34" s="17" t="s">
        <v>15</v>
      </c>
      <c r="J34" s="4">
        <v>0.03</v>
      </c>
      <c r="N34" s="19" t="s">
        <v>47</v>
      </c>
      <c r="O34" s="11">
        <f>L30*O33</f>
        <v>8.4607836124868677E-2</v>
      </c>
    </row>
    <row r="35" spans="1:15" x14ac:dyDescent="0.3">
      <c r="A35" s="10"/>
      <c r="F35" s="11"/>
      <c r="I35" s="17" t="s">
        <v>37</v>
      </c>
      <c r="J35" s="4">
        <v>5.9999999999999995E-4</v>
      </c>
      <c r="O35" s="11"/>
    </row>
    <row r="36" spans="1:15" x14ac:dyDescent="0.3">
      <c r="A36" s="10"/>
      <c r="B36" t="s">
        <v>23</v>
      </c>
      <c r="F36" s="11"/>
      <c r="I36" s="17" t="s">
        <v>44</v>
      </c>
      <c r="J36" s="4">
        <v>6.0000000000000001E-3</v>
      </c>
      <c r="O36" s="11"/>
    </row>
    <row r="37" spans="1:15" x14ac:dyDescent="0.3">
      <c r="A37" s="10"/>
      <c r="F37" s="11"/>
      <c r="I37" s="17" t="s">
        <v>45</v>
      </c>
      <c r="J37" s="4">
        <v>0.06</v>
      </c>
      <c r="O37" s="11"/>
    </row>
    <row r="38" spans="1:15" x14ac:dyDescent="0.3">
      <c r="A38" s="17" t="s">
        <v>3</v>
      </c>
      <c r="B38" s="4">
        <v>3.78</v>
      </c>
      <c r="C38" s="19" t="s">
        <v>18</v>
      </c>
      <c r="D38" s="4">
        <f>D34+ABS(B38-B34)</f>
        <v>7.50000000000007E-3</v>
      </c>
      <c r="E38" t="s">
        <v>22</v>
      </c>
      <c r="F38" s="11"/>
      <c r="I38" s="10"/>
      <c r="O38" s="11"/>
    </row>
    <row r="39" spans="1:15" x14ac:dyDescent="0.3">
      <c r="A39" s="10"/>
      <c r="F39" s="11"/>
      <c r="I39" s="10" t="s">
        <v>26</v>
      </c>
      <c r="O39" s="11"/>
    </row>
    <row r="40" spans="1:15" x14ac:dyDescent="0.3">
      <c r="A40" s="14"/>
      <c r="B40" s="1" t="s">
        <v>23</v>
      </c>
      <c r="C40" s="1"/>
      <c r="D40" s="1"/>
      <c r="E40" s="1"/>
      <c r="F40" s="15"/>
      <c r="I40" s="17" t="s">
        <v>14</v>
      </c>
      <c r="J40" s="4">
        <v>9.3699999999999992</v>
      </c>
      <c r="K40" s="19" t="s">
        <v>43</v>
      </c>
      <c r="L40">
        <f>POWER(J40-J41, 1/3)/J42/(J43-J40)</f>
        <v>0.68729729499361136</v>
      </c>
      <c r="N40" s="2" t="s">
        <v>49</v>
      </c>
      <c r="O40" s="11">
        <f>(J44+J45)/(J40-J41)</f>
        <v>6.8668157138294494E-4</v>
      </c>
    </row>
    <row r="41" spans="1:15" x14ac:dyDescent="0.3">
      <c r="I41" s="17" t="s">
        <v>29</v>
      </c>
      <c r="J41" s="4">
        <v>3.1080000000000001</v>
      </c>
      <c r="N41" s="2" t="s">
        <v>50</v>
      </c>
      <c r="O41" s="11">
        <f>(J47+J44)/(J43-J40)</f>
        <v>7.5471698113207539E-3</v>
      </c>
    </row>
    <row r="42" spans="1:15" x14ac:dyDescent="0.3">
      <c r="A42" s="7" t="s">
        <v>53</v>
      </c>
      <c r="B42" s="9"/>
      <c r="I42" s="17" t="s">
        <v>41</v>
      </c>
      <c r="J42" s="4">
        <v>0.46</v>
      </c>
      <c r="N42" s="2" t="s">
        <v>48</v>
      </c>
      <c r="O42" s="11">
        <f>J46/J42</f>
        <v>4.3478260869565218E-3</v>
      </c>
    </row>
    <row r="43" spans="1:15" x14ac:dyDescent="0.3">
      <c r="A43" s="10" t="s">
        <v>24</v>
      </c>
      <c r="B43" s="11"/>
      <c r="I43" s="17" t="s">
        <v>42</v>
      </c>
      <c r="J43" s="4">
        <v>15.2</v>
      </c>
      <c r="N43" s="19" t="s">
        <v>46</v>
      </c>
      <c r="O43" s="11">
        <f>O40/3+O41+O42</f>
        <v>1.2123889755404925E-2</v>
      </c>
    </row>
    <row r="44" spans="1:15" x14ac:dyDescent="0.3">
      <c r="A44" s="17" t="s">
        <v>14</v>
      </c>
      <c r="B44" s="11">
        <v>41.72</v>
      </c>
      <c r="I44" s="17" t="s">
        <v>15</v>
      </c>
      <c r="J44" s="4">
        <v>4.0000000000000001E-3</v>
      </c>
      <c r="N44" s="19" t="s">
        <v>47</v>
      </c>
      <c r="O44" s="11">
        <f>L40*O43</f>
        <v>8.3327166336905623E-3</v>
      </c>
    </row>
    <row r="45" spans="1:15" x14ac:dyDescent="0.3">
      <c r="A45" s="17" t="s">
        <v>15</v>
      </c>
      <c r="B45" s="11">
        <v>5.0000000000000001E-3</v>
      </c>
      <c r="I45" s="17" t="s">
        <v>37</v>
      </c>
      <c r="J45" s="4">
        <v>2.9999999999999997E-4</v>
      </c>
      <c r="O45" s="11"/>
    </row>
    <row r="46" spans="1:15" x14ac:dyDescent="0.3">
      <c r="A46" s="17" t="s">
        <v>25</v>
      </c>
      <c r="B46" s="11">
        <f>B45/B44</f>
        <v>1.1984659635666348E-4</v>
      </c>
      <c r="I46" s="17" t="s">
        <v>44</v>
      </c>
      <c r="J46" s="4">
        <v>2E-3</v>
      </c>
      <c r="O46" s="11"/>
    </row>
    <row r="47" spans="1:15" x14ac:dyDescent="0.3">
      <c r="A47" s="10"/>
      <c r="B47" s="11"/>
      <c r="I47" s="17" t="s">
        <v>45</v>
      </c>
      <c r="J47" s="4">
        <v>0.04</v>
      </c>
      <c r="O47" s="11"/>
    </row>
    <row r="48" spans="1:15" x14ac:dyDescent="0.3">
      <c r="A48" s="10" t="s">
        <v>26</v>
      </c>
      <c r="B48" s="11"/>
      <c r="I48" s="10"/>
      <c r="O48" s="11"/>
    </row>
    <row r="49" spans="1:16" x14ac:dyDescent="0.3">
      <c r="A49" s="17" t="s">
        <v>14</v>
      </c>
      <c r="B49" s="11">
        <v>0.67800000000000005</v>
      </c>
      <c r="I49" s="10" t="s">
        <v>40</v>
      </c>
      <c r="O49" s="11"/>
    </row>
    <row r="50" spans="1:16" x14ac:dyDescent="0.3">
      <c r="A50" s="17" t="s">
        <v>15</v>
      </c>
      <c r="B50" s="11">
        <v>1E-3</v>
      </c>
      <c r="I50" s="17" t="s">
        <v>14</v>
      </c>
      <c r="J50" s="4">
        <v>11.45</v>
      </c>
      <c r="K50" s="19" t="s">
        <v>43</v>
      </c>
      <c r="L50">
        <f>POWER(J50-J51, 1/3)/J52/(J53-J50)</f>
        <v>0.48626295021608618</v>
      </c>
      <c r="N50" s="2" t="s">
        <v>49</v>
      </c>
      <c r="O50" s="11">
        <f>(J54+J55)/(J50-J51)</f>
        <v>1.7096452486109134E-3</v>
      </c>
    </row>
    <row r="51" spans="1:16" x14ac:dyDescent="0.3">
      <c r="A51" s="21" t="s">
        <v>25</v>
      </c>
      <c r="B51" s="15">
        <f>B50/B49</f>
        <v>1.4749262536873156E-3</v>
      </c>
      <c r="I51" s="17" t="s">
        <v>29</v>
      </c>
      <c r="J51" s="4">
        <v>4.431</v>
      </c>
      <c r="N51" s="2" t="s">
        <v>50</v>
      </c>
      <c r="O51" s="11">
        <f>(J57+J54)/(J53-J50)</f>
        <v>1.142857142857143E-2</v>
      </c>
    </row>
    <row r="52" spans="1:16" x14ac:dyDescent="0.3">
      <c r="I52" s="17" t="s">
        <v>41</v>
      </c>
      <c r="J52" s="4">
        <v>0.75</v>
      </c>
      <c r="N52" s="2" t="s">
        <v>48</v>
      </c>
      <c r="O52" s="11">
        <f>J56/J52</f>
        <v>4.0000000000000001E-3</v>
      </c>
    </row>
    <row r="53" spans="1:16" x14ac:dyDescent="0.3">
      <c r="I53" s="17" t="s">
        <v>42</v>
      </c>
      <c r="J53" s="4">
        <v>16.7</v>
      </c>
      <c r="N53" s="19" t="s">
        <v>46</v>
      </c>
      <c r="O53" s="11">
        <f>O50/3+O51+O52</f>
        <v>1.5998453178108402E-2</v>
      </c>
    </row>
    <row r="54" spans="1:16" x14ac:dyDescent="0.3">
      <c r="I54" s="17" t="s">
        <v>15</v>
      </c>
      <c r="J54" s="4">
        <v>0.01</v>
      </c>
      <c r="N54" s="19" t="s">
        <v>47</v>
      </c>
      <c r="O54" s="11">
        <f>L50*O53</f>
        <v>7.7794550412809121E-3</v>
      </c>
    </row>
    <row r="55" spans="1:16" x14ac:dyDescent="0.3">
      <c r="I55" s="17" t="s">
        <v>37</v>
      </c>
      <c r="J55" s="4">
        <v>2E-3</v>
      </c>
      <c r="O55" s="11"/>
    </row>
    <row r="56" spans="1:16" x14ac:dyDescent="0.3">
      <c r="I56" s="17" t="s">
        <v>44</v>
      </c>
      <c r="J56" s="4">
        <v>3.0000000000000001E-3</v>
      </c>
      <c r="O56" s="11"/>
    </row>
    <row r="57" spans="1:16" x14ac:dyDescent="0.3">
      <c r="I57" s="21" t="s">
        <v>45</v>
      </c>
      <c r="J57" s="16">
        <v>0.05</v>
      </c>
      <c r="K57" s="1"/>
      <c r="L57" s="1"/>
      <c r="M57" s="1"/>
      <c r="N57" s="1"/>
      <c r="O57" s="15"/>
    </row>
    <row r="59" spans="1:16" x14ac:dyDescent="0.3">
      <c r="I59" s="22" t="s">
        <v>54</v>
      </c>
      <c r="J59" s="8"/>
      <c r="K59" s="8"/>
      <c r="L59" s="8"/>
      <c r="M59" s="8"/>
      <c r="N59" s="8"/>
      <c r="O59" s="8"/>
      <c r="P59" s="9"/>
    </row>
    <row r="60" spans="1:16" x14ac:dyDescent="0.3">
      <c r="I60" s="25" t="s">
        <v>27</v>
      </c>
      <c r="L60" s="4" t="s">
        <v>26</v>
      </c>
      <c r="O60" s="4" t="s">
        <v>40</v>
      </c>
      <c r="P60" s="11"/>
    </row>
    <row r="61" spans="1:16" x14ac:dyDescent="0.3">
      <c r="I61" s="17" t="s">
        <v>14</v>
      </c>
      <c r="J61" s="4">
        <v>46.3</v>
      </c>
      <c r="L61" s="19" t="s">
        <v>14</v>
      </c>
      <c r="M61" s="4">
        <v>10.5</v>
      </c>
      <c r="O61" s="19" t="s">
        <v>14</v>
      </c>
      <c r="P61" s="20">
        <v>2.48</v>
      </c>
    </row>
    <row r="62" spans="1:16" x14ac:dyDescent="0.3">
      <c r="I62" s="17" t="s">
        <v>29</v>
      </c>
      <c r="J62" s="4">
        <v>29.72</v>
      </c>
      <c r="L62" s="19" t="s">
        <v>29</v>
      </c>
      <c r="M62" s="4">
        <v>34.18</v>
      </c>
      <c r="O62" s="19" t="s">
        <v>29</v>
      </c>
      <c r="P62" s="20">
        <v>5.3440000000000003</v>
      </c>
    </row>
    <row r="63" spans="1:16" x14ac:dyDescent="0.3">
      <c r="I63" s="17" t="s">
        <v>28</v>
      </c>
      <c r="J63" s="4">
        <v>37.654000000000003</v>
      </c>
      <c r="L63" s="19" t="s">
        <v>28</v>
      </c>
      <c r="M63" s="4">
        <v>27.327000000000002</v>
      </c>
      <c r="O63" s="19" t="s">
        <v>28</v>
      </c>
      <c r="P63" s="20">
        <v>6.0217999999999998</v>
      </c>
    </row>
    <row r="64" spans="1:16" x14ac:dyDescent="0.3">
      <c r="I64" s="17" t="s">
        <v>55</v>
      </c>
      <c r="J64" s="6">
        <f>(J61+J62+J63)/2</f>
        <v>56.837000000000003</v>
      </c>
      <c r="L64" s="19" t="s">
        <v>55</v>
      </c>
      <c r="M64" s="6">
        <f>(M61+M62+M63)/2</f>
        <v>36.003500000000003</v>
      </c>
      <c r="O64" s="19" t="s">
        <v>55</v>
      </c>
      <c r="P64" s="26">
        <f>(P61+P62+P63)/2</f>
        <v>6.9229000000000003</v>
      </c>
    </row>
    <row r="65" spans="9:16" x14ac:dyDescent="0.3">
      <c r="I65" s="17" t="s">
        <v>57</v>
      </c>
      <c r="J65" s="6">
        <f>J64-J61</f>
        <v>10.537000000000006</v>
      </c>
      <c r="L65" s="19" t="s">
        <v>57</v>
      </c>
      <c r="M65" s="6">
        <f>M64-M61</f>
        <v>25.503500000000003</v>
      </c>
      <c r="O65" s="19" t="s">
        <v>57</v>
      </c>
      <c r="P65" s="26">
        <f>P64-P61</f>
        <v>4.4428999999999998</v>
      </c>
    </row>
    <row r="66" spans="9:16" x14ac:dyDescent="0.3">
      <c r="I66" s="17" t="s">
        <v>58</v>
      </c>
      <c r="J66" s="6">
        <f>J64-J62</f>
        <v>27.117000000000004</v>
      </c>
      <c r="L66" s="19" t="s">
        <v>58</v>
      </c>
      <c r="M66" s="6">
        <f>M64-M62</f>
        <v>1.8235000000000028</v>
      </c>
      <c r="O66" s="19" t="s">
        <v>58</v>
      </c>
      <c r="P66" s="26">
        <f>P64-P62</f>
        <v>1.5789</v>
      </c>
    </row>
    <row r="67" spans="9:16" x14ac:dyDescent="0.3">
      <c r="I67" s="17" t="s">
        <v>59</v>
      </c>
      <c r="J67" s="6">
        <f>J64-J63</f>
        <v>19.183</v>
      </c>
      <c r="L67" s="19" t="s">
        <v>59</v>
      </c>
      <c r="M67" s="6">
        <f>M64-M63</f>
        <v>8.6765000000000008</v>
      </c>
      <c r="O67" s="19" t="s">
        <v>59</v>
      </c>
      <c r="P67" s="26">
        <f>P64-P63</f>
        <v>0.90110000000000046</v>
      </c>
    </row>
    <row r="68" spans="9:16" x14ac:dyDescent="0.3">
      <c r="I68" s="21" t="s">
        <v>56</v>
      </c>
      <c r="J68" s="24">
        <f>SQRT(J64*J65*J66*J67)</f>
        <v>558.1528508806158</v>
      </c>
      <c r="K68" s="1"/>
      <c r="L68" s="23" t="s">
        <v>56</v>
      </c>
      <c r="M68" s="24">
        <f>SQRT(M64*M65*M66*M67)</f>
        <v>120.53062900039262</v>
      </c>
      <c r="N68" s="1"/>
      <c r="O68" s="23" t="s">
        <v>56</v>
      </c>
      <c r="P68" s="27">
        <f>SQRT(P64*P65*P66*P67)</f>
        <v>6.6151714648179976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2025-12-17T07:44:44Z</dcterms:modified>
</cp:coreProperties>
</file>